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te.convert" sheetId="2" state="visible" r:id="rId2"/>
    <sheet name="amortization.french" sheetId="3" state="visible" r:id="rId3"/>
    <sheet name="credit.usury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S1-03 — independent re-derivation of the S1-01 golden vectors</t>
        </is>
      </c>
    </row>
    <row r="2">
      <c r="A2" t="inlineStr">
        <is>
          <t>Every "Excel result" cell is an Excel formula written from docs/financial-formulas/colombia-credit.md, not from the engine code.</t>
        </is>
      </c>
    </row>
    <row r="3">
      <c r="A3" t="inlineStr">
        <is>
          <t>Inputs and "Engine vector" are copied from packages/financial-engine/test/vectors/*.json.</t>
        </is>
      </c>
    </row>
    <row r="4">
      <c r="A4" t="inlineStr">
        <is>
          <t>Excel works with ~15 significant digits, so rates are compared with a tolerance of 1e-12 and amounts to the minor unit.</t>
        </is>
      </c>
    </row>
    <row r="5">
      <c r="A5" t="inlineStr">
        <is>
          <t>A founder reviews each formula against the spec, fills "Checked by" and "Date", and records disagreements as issues.</t>
        </is>
      </c>
    </row>
    <row r="6">
      <c r="A6" t="inlineStr">
        <is>
          <t>When a formula is checked, add "spreadsheet-founders" to verifiedBy in its vector file (a new commit, never an edit of the math).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Description</t>
        </is>
      </c>
      <c r="B1" s="1" t="inlineStr">
        <is>
          <t>Rate</t>
        </is>
      </c>
      <c r="C1" s="1" t="inlineStr">
        <is>
          <t>From basis</t>
        </is>
      </c>
      <c r="D1" s="1" t="inlineStr">
        <is>
          <t>From m</t>
        </is>
      </c>
      <c r="E1" s="1" t="inlineStr">
        <is>
          <t>From timing</t>
        </is>
      </c>
      <c r="F1" s="1" t="inlineStr">
        <is>
          <t>To basis</t>
        </is>
      </c>
      <c r="G1" s="1" t="inlineStr">
        <is>
          <t>To m</t>
        </is>
      </c>
      <c r="H1" s="1" t="inlineStr">
        <is>
          <t>To timing</t>
        </is>
      </c>
      <c r="I1" s="1" t="inlineStr">
        <is>
          <t>Periodic in (arrears)</t>
        </is>
      </c>
      <c r="J1" s="1" t="inlineStr">
        <is>
          <t>EA</t>
        </is>
      </c>
      <c r="K1" s="1" t="inlineStr">
        <is>
          <t>Periodic out (arrears)</t>
        </is>
      </c>
      <c r="L1" s="1" t="inlineStr">
        <is>
          <t>Excel result</t>
        </is>
      </c>
      <c r="M1" s="1" t="inlineStr">
        <is>
          <t>Engine vector</t>
        </is>
      </c>
      <c r="N1" s="1" t="inlineStr">
        <is>
          <t>Match (1e-12)</t>
        </is>
      </c>
      <c r="O1" s="1" t="inlineStr">
        <is>
          <t>Checked by</t>
        </is>
      </c>
      <c r="P1" s="1" t="inlineStr">
        <is>
          <t>Date</t>
        </is>
      </c>
    </row>
    <row r="2">
      <c r="A2" t="inlineStr">
        <is>
          <t>MV → EA (2.3 % MV, colombia-credit.md §1)</t>
        </is>
      </c>
      <c r="B2" t="n">
        <v>0.023</v>
      </c>
      <c r="C2" t="inlineStr">
        <is>
          <t>EFFECTIVE</t>
        </is>
      </c>
      <c r="D2" t="n">
        <v>12</v>
      </c>
      <c r="E2" t="inlineStr">
        <is>
          <t>ARREARS</t>
        </is>
      </c>
      <c r="F2" t="inlineStr">
        <is>
          <t>EFFECTIVE</t>
        </is>
      </c>
      <c r="G2" t="n">
        <v>1</v>
      </c>
      <c r="H2" t="inlineStr">
        <is>
          <t>ARREARS</t>
        </is>
      </c>
      <c r="I2">
        <f>IF(C2="NOMINAL",B2/D2,B2)/IF(E2="ADVANCE",1-IF(C2="NOMINAL",B2/D2,B2),1)</f>
        <v/>
      </c>
      <c r="J2">
        <f>(1+I2)^D2-1</f>
        <v/>
      </c>
      <c r="K2">
        <f>(1+J2)^(1/G2)-1</f>
        <v/>
      </c>
      <c r="L2">
        <f>IF(H2="ADVANCE",K2/(1+K2),K2)*IF(F2="NOMINAL",G2,1)</f>
        <v/>
      </c>
      <c r="M2" t="n">
        <v>0.3137344983996021</v>
      </c>
      <c r="N2">
        <f>IF(ABS(L2-M2)&lt;=1E-12,"OK","CHECK")</f>
        <v/>
      </c>
    </row>
    <row r="3">
      <c r="A3" t="inlineStr">
        <is>
          <t>EA → MV (24 % EA, fractional power)</t>
        </is>
      </c>
      <c r="B3" t="n">
        <v>0.24</v>
      </c>
      <c r="C3" t="inlineStr">
        <is>
          <t>EFFECTIVE</t>
        </is>
      </c>
      <c r="D3" t="n">
        <v>1</v>
      </c>
      <c r="E3" t="inlineStr">
        <is>
          <t>ARREARS</t>
        </is>
      </c>
      <c r="F3" t="inlineStr">
        <is>
          <t>EFFECTIVE</t>
        </is>
      </c>
      <c r="G3" t="n">
        <v>12</v>
      </c>
      <c r="H3" t="inlineStr">
        <is>
          <t>ARREARS</t>
        </is>
      </c>
      <c r="I3">
        <f>IF(C3="NOMINAL",B3/D3,B3)/IF(E3="ADVANCE",1-IF(C3="NOMINAL",B3/D3,B3),1)</f>
        <v/>
      </c>
      <c r="J3">
        <f>(1+I3)^D3-1</f>
        <v/>
      </c>
      <c r="K3">
        <f>(1+J3)^(1/G3)-1</f>
        <v/>
      </c>
      <c r="L3">
        <f>IF(H3="ADVANCE",K3/(1+K3),K3)*IF(F3="NOMINAL",G3,1)</f>
        <v/>
      </c>
      <c r="M3" t="n">
        <v>0.01808758248351067</v>
      </c>
      <c r="N3">
        <f>IF(ABS(L3-M3)&lt;=1E-12,"OK","CHECK")</f>
        <v/>
      </c>
    </row>
    <row r="4">
      <c r="A4" t="inlineStr">
        <is>
          <t>NAMV → MV (24 % NAMV = 2 % MV)</t>
        </is>
      </c>
      <c r="B4" t="n">
        <v>0.24</v>
      </c>
      <c r="C4" t="inlineStr">
        <is>
          <t>NOMINAL</t>
        </is>
      </c>
      <c r="D4" t="n">
        <v>12</v>
      </c>
      <c r="E4" t="inlineStr">
        <is>
          <t>ARREARS</t>
        </is>
      </c>
      <c r="F4" t="inlineStr">
        <is>
          <t>EFFECTIVE</t>
        </is>
      </c>
      <c r="G4" t="n">
        <v>12</v>
      </c>
      <c r="H4" t="inlineStr">
        <is>
          <t>ARREARS</t>
        </is>
      </c>
      <c r="I4">
        <f>IF(C4="NOMINAL",B4/D4,B4)/IF(E4="ADVANCE",1-IF(C4="NOMINAL",B4/D4,B4),1)</f>
        <v/>
      </c>
      <c r="J4">
        <f>(1+I4)^D4-1</f>
        <v/>
      </c>
      <c r="K4">
        <f>(1+J4)^(1/G4)-1</f>
        <v/>
      </c>
      <c r="L4">
        <f>IF(H4="ADVANCE",K4/(1+K4),K4)*IF(F4="NOMINAL",G4,1)</f>
        <v/>
      </c>
      <c r="M4" t="n">
        <v>0.02</v>
      </c>
      <c r="N4">
        <f>IF(ABS(L4-M4)&lt;=1E-12,"OK","CHECK")</f>
        <v/>
      </c>
    </row>
    <row r="5">
      <c r="A5" t="inlineStr">
        <is>
          <t>NAMV → EA (24 % NAMV)</t>
        </is>
      </c>
      <c r="B5" t="n">
        <v>0.24</v>
      </c>
      <c r="C5" t="inlineStr">
        <is>
          <t>NOMINAL</t>
        </is>
      </c>
      <c r="D5" t="n">
        <v>12</v>
      </c>
      <c r="E5" t="inlineStr">
        <is>
          <t>ARREARS</t>
        </is>
      </c>
      <c r="F5" t="inlineStr">
        <is>
          <t>EFFECTIVE</t>
        </is>
      </c>
      <c r="G5" t="n">
        <v>1</v>
      </c>
      <c r="H5" t="inlineStr">
        <is>
          <t>ARREARS</t>
        </is>
      </c>
      <c r="I5">
        <f>IF(C5="NOMINAL",B5/D5,B5)/IF(E5="ADVANCE",1-IF(C5="NOMINAL",B5/D5,B5),1)</f>
        <v/>
      </c>
      <c r="J5">
        <f>(1+I5)^D5-1</f>
        <v/>
      </c>
      <c r="K5">
        <f>(1+J5)^(1/G5)-1</f>
        <v/>
      </c>
      <c r="L5">
        <f>IF(H5="ADVANCE",K5/(1+K5),K5)*IF(F5="NOMINAL",G5,1)</f>
        <v/>
      </c>
      <c r="M5" t="n">
        <v>0.2682417945625453</v>
      </c>
      <c r="N5">
        <f>IF(ABS(L5-M5)&lt;=1E-12,"OK","CHECK")</f>
        <v/>
      </c>
    </row>
    <row r="6">
      <c r="A6" t="inlineStr">
        <is>
          <t>monthly in advance → in arrears (2 %)</t>
        </is>
      </c>
      <c r="B6" t="n">
        <v>0.02</v>
      </c>
      <c r="C6" t="inlineStr">
        <is>
          <t>EFFECTIVE</t>
        </is>
      </c>
      <c r="D6" t="n">
        <v>12</v>
      </c>
      <c r="E6" t="inlineStr">
        <is>
          <t>ADVANCE</t>
        </is>
      </c>
      <c r="F6" t="inlineStr">
        <is>
          <t>EFFECTIVE</t>
        </is>
      </c>
      <c r="G6" t="n">
        <v>12</v>
      </c>
      <c r="H6" t="inlineStr">
        <is>
          <t>ARREARS</t>
        </is>
      </c>
      <c r="I6">
        <f>IF(C6="NOMINAL",B6/D6,B6)/IF(E6="ADVANCE",1-IF(C6="NOMINAL",B6/D6,B6),1)</f>
        <v/>
      </c>
      <c r="J6">
        <f>(1+I6)^D6-1</f>
        <v/>
      </c>
      <c r="K6">
        <f>(1+J6)^(1/G6)-1</f>
        <v/>
      </c>
      <c r="L6">
        <f>IF(H6="ADVANCE",K6/(1+K6),K6)*IF(F6="NOMINAL",G6,1)</f>
        <v/>
      </c>
      <c r="M6" t="n">
        <v>0.02040816326530612</v>
      </c>
      <c r="N6">
        <f>IF(ABS(L6-M6)&lt;=1E-12,"OK","CHECK")</f>
        <v/>
      </c>
    </row>
    <row r="7">
      <c r="A7" t="inlineStr">
        <is>
          <t>EA → monthly in advance (26.8 % EA)</t>
        </is>
      </c>
      <c r="B7" t="n">
        <v>0.268</v>
      </c>
      <c r="C7" t="inlineStr">
        <is>
          <t>EFFECTIVE</t>
        </is>
      </c>
      <c r="D7" t="n">
        <v>1</v>
      </c>
      <c r="E7" t="inlineStr">
        <is>
          <t>ARREARS</t>
        </is>
      </c>
      <c r="F7" t="inlineStr">
        <is>
          <t>EFFECTIVE</t>
        </is>
      </c>
      <c r="G7" t="n">
        <v>12</v>
      </c>
      <c r="H7" t="inlineStr">
        <is>
          <t>ADVANCE</t>
        </is>
      </c>
      <c r="I7">
        <f>IF(C7="NOMINAL",B7/D7,B7)/IF(E7="ADVANCE",1-IF(C7="NOMINAL",B7/D7,B7),1)</f>
        <v/>
      </c>
      <c r="J7">
        <f>(1+I7)^D7-1</f>
        <v/>
      </c>
      <c r="K7">
        <f>(1+J7)^(1/G7)-1</f>
        <v/>
      </c>
      <c r="L7">
        <f>IF(H7="ADVANCE",K7/(1+K7),K7)*IF(F7="NOMINAL",G7,1)</f>
        <v/>
      </c>
      <c r="M7" t="n">
        <v>0.01959226527337022</v>
      </c>
      <c r="N7">
        <f>IF(ABS(L7-M7)&lt;=1E-12,"OK","CHECK")</f>
        <v/>
      </c>
    </row>
    <row r="8">
      <c r="A8" t="inlineStr">
        <is>
          <t>EA → quarterly in arrears (30 % EA)</t>
        </is>
      </c>
      <c r="B8" t="n">
        <v>0.3</v>
      </c>
      <c r="C8" t="inlineStr">
        <is>
          <t>EFFECTIVE</t>
        </is>
      </c>
      <c r="D8" t="n">
        <v>1</v>
      </c>
      <c r="E8" t="inlineStr">
        <is>
          <t>ARREARS</t>
        </is>
      </c>
      <c r="F8" t="inlineStr">
        <is>
          <t>EFFECTIVE</t>
        </is>
      </c>
      <c r="G8" t="n">
        <v>4</v>
      </c>
      <c r="H8" t="inlineStr">
        <is>
          <t>ARREARS</t>
        </is>
      </c>
      <c r="I8">
        <f>IF(C8="NOMINAL",B8/D8,B8)/IF(E8="ADVANCE",1-IF(C8="NOMINAL",B8/D8,B8),1)</f>
        <v/>
      </c>
      <c r="J8">
        <f>(1+I8)^D8-1</f>
        <v/>
      </c>
      <c r="K8">
        <f>(1+J8)^(1/G8)-1</f>
        <v/>
      </c>
      <c r="L8">
        <f>IF(H8="ADVANCE",K8/(1+K8),K8)*IF(F8="NOMINAL",G8,1)</f>
        <v/>
      </c>
      <c r="M8" t="n">
        <v>0.06778997237244085</v>
      </c>
      <c r="N8">
        <f>IF(ABS(L8-M8)&lt;=1E-12,"OK","CHECK")</f>
        <v/>
      </c>
    </row>
    <row r="9">
      <c r="A9" t="inlineStr">
        <is>
          <t>quarterly nominal → EA (20 % NATV)</t>
        </is>
      </c>
      <c r="B9" t="n">
        <v>0.2</v>
      </c>
      <c r="C9" t="inlineStr">
        <is>
          <t>NOMINAL</t>
        </is>
      </c>
      <c r="D9" t="n">
        <v>4</v>
      </c>
      <c r="E9" t="inlineStr">
        <is>
          <t>ARREARS</t>
        </is>
      </c>
      <c r="F9" t="inlineStr">
        <is>
          <t>EFFECTIVE</t>
        </is>
      </c>
      <c r="G9" t="n">
        <v>1</v>
      </c>
      <c r="H9" t="inlineStr">
        <is>
          <t>ARREARS</t>
        </is>
      </c>
      <c r="I9">
        <f>IF(C9="NOMINAL",B9/D9,B9)/IF(E9="ADVANCE",1-IF(C9="NOMINAL",B9/D9,B9),1)</f>
        <v/>
      </c>
      <c r="J9">
        <f>(1+I9)^D9-1</f>
        <v/>
      </c>
      <c r="K9">
        <f>(1+J9)^(1/G9)-1</f>
        <v/>
      </c>
      <c r="L9">
        <f>IF(H9="ADVANCE",K9/(1+K9),K9)*IF(F9="NOMINAL",G9,1)</f>
        <v/>
      </c>
      <c r="M9" t="n">
        <v>0.21550625</v>
      </c>
      <c r="N9">
        <f>IF(ABS(L9-M9)&lt;=1E-12,"OK","CHECK")</f>
        <v/>
      </c>
    </row>
    <row r="10">
      <c r="A10" t="inlineStr">
        <is>
          <t>EA → EA is the identity</t>
        </is>
      </c>
      <c r="B10" t="n">
        <v>0.1875</v>
      </c>
      <c r="C10" t="inlineStr">
        <is>
          <t>EFFECTIVE</t>
        </is>
      </c>
      <c r="D10" t="n">
        <v>1</v>
      </c>
      <c r="E10" t="inlineStr">
        <is>
          <t>ARREARS</t>
        </is>
      </c>
      <c r="F10" t="inlineStr">
        <is>
          <t>EFFECTIVE</t>
        </is>
      </c>
      <c r="G10" t="n">
        <v>1</v>
      </c>
      <c r="H10" t="inlineStr">
        <is>
          <t>ARREARS</t>
        </is>
      </c>
      <c r="I10">
        <f>IF(C10="NOMINAL",B10/D10,B10)/IF(E10="ADVANCE",1-IF(C10="NOMINAL",B10/D10,B10),1)</f>
        <v/>
      </c>
      <c r="J10">
        <f>(1+I10)^D10-1</f>
        <v/>
      </c>
      <c r="K10">
        <f>(1+J10)^(1/G10)-1</f>
        <v/>
      </c>
      <c r="L10">
        <f>IF(H10="ADVANCE",K10/(1+K10),K10)*IF(F10="NOMINAL",G10,1)</f>
        <v/>
      </c>
      <c r="M10" t="n">
        <v>0.1875</v>
      </c>
      <c r="N10">
        <f>IF(ABS(L10-M10)&lt;=1E-12,"OK","CHECK")</f>
        <v/>
      </c>
    </row>
    <row r="11">
      <c r="A11" t="inlineStr">
        <is>
          <t>zero rate stays zero</t>
        </is>
      </c>
      <c r="B11" t="n">
        <v>0</v>
      </c>
      <c r="C11" t="inlineStr">
        <is>
          <t>EFFECTIVE</t>
        </is>
      </c>
      <c r="D11" t="n">
        <v>12</v>
      </c>
      <c r="E11" t="inlineStr">
        <is>
          <t>ARREARS</t>
        </is>
      </c>
      <c r="F11" t="inlineStr">
        <is>
          <t>EFFECTIVE</t>
        </is>
      </c>
      <c r="G11" t="n">
        <v>1</v>
      </c>
      <c r="H11" t="inlineStr">
        <is>
          <t>ARREARS</t>
        </is>
      </c>
      <c r="I11">
        <f>IF(C11="NOMINAL",B11/D11,B11)/IF(E11="ADVANCE",1-IF(C11="NOMINAL",B11/D11,B11),1)</f>
        <v/>
      </c>
      <c r="J11">
        <f>(1+I11)^D11-1</f>
        <v/>
      </c>
      <c r="K11">
        <f>(1+J11)^(1/G11)-1</f>
        <v/>
      </c>
      <c r="L11">
        <f>IF(H11="ADVANCE",K11/(1+K11),K11)*IF(F11="NOMINAL",G11,1)</f>
        <v/>
      </c>
      <c r="M11" t="n">
        <v>0</v>
      </c>
      <c r="N11">
        <f>IF(ABS(L11-M11)&lt;=1E-12,"OK","CHECK")</f>
        <v/>
      </c>
    </row>
    <row r="12">
      <c r="A12" t="inlineStr">
        <is>
          <t>high rate above 100 % EA (8 % MV)</t>
        </is>
      </c>
      <c r="B12" t="n">
        <v>0.08</v>
      </c>
      <c r="C12" t="inlineStr">
        <is>
          <t>EFFECTIVE</t>
        </is>
      </c>
      <c r="D12" t="n">
        <v>12</v>
      </c>
      <c r="E12" t="inlineStr">
        <is>
          <t>ARREARS</t>
        </is>
      </c>
      <c r="F12" t="inlineStr">
        <is>
          <t>EFFECTIVE</t>
        </is>
      </c>
      <c r="G12" t="n">
        <v>1</v>
      </c>
      <c r="H12" t="inlineStr">
        <is>
          <t>ARREARS</t>
        </is>
      </c>
      <c r="I12">
        <f>IF(C12="NOMINAL",B12/D12,B12)/IF(E12="ADVANCE",1-IF(C12="NOMINAL",B12/D12,B12),1)</f>
        <v/>
      </c>
      <c r="J12">
        <f>(1+I12)^D12-1</f>
        <v/>
      </c>
      <c r="K12">
        <f>(1+J12)^(1/G12)-1</f>
        <v/>
      </c>
      <c r="L12">
        <f>IF(H12="ADVANCE",K12/(1+K12),K12)*IF(F12="NOMINAL",G12,1)</f>
        <v/>
      </c>
      <c r="M12" t="n">
        <v>1.518170116818979</v>
      </c>
      <c r="N12">
        <f>IF(ABS(L12-M12)&lt;=1E-12,"OK","CHECK")</f>
        <v/>
      </c>
    </row>
    <row r="13">
      <c r="A13" t="inlineStr">
        <is>
          <t>EA → daily (365) nominal</t>
        </is>
      </c>
      <c r="B13" t="n">
        <v>0.25</v>
      </c>
      <c r="C13" t="inlineStr">
        <is>
          <t>EFFECTIVE</t>
        </is>
      </c>
      <c r="D13" t="n">
        <v>1</v>
      </c>
      <c r="E13" t="inlineStr">
        <is>
          <t>ARREARS</t>
        </is>
      </c>
      <c r="F13" t="inlineStr">
        <is>
          <t>NOMINAL</t>
        </is>
      </c>
      <c r="G13" t="n">
        <v>365</v>
      </c>
      <c r="H13" t="inlineStr">
        <is>
          <t>ARREARS</t>
        </is>
      </c>
      <c r="I13">
        <f>IF(C13="NOMINAL",B13/D13,B13)/IF(E13="ADVANCE",1-IF(C13="NOMINAL",B13/D13,B13),1)</f>
        <v/>
      </c>
      <c r="J13">
        <f>(1+I13)^D13-1</f>
        <v/>
      </c>
      <c r="K13">
        <f>(1+J13)^(1/G13)-1</f>
        <v/>
      </c>
      <c r="L13">
        <f>IF(H13="ADVANCE",K13/(1+K13),K13)*IF(F13="NOMINAL",G13,1)</f>
        <v/>
      </c>
      <c r="M13" t="n">
        <v>0.2232117748663648</v>
      </c>
      <c r="N13">
        <f>IF(ABS(L13-M13)&lt;=1E-12,"OK","CHECK")</f>
        <v/>
      </c>
    </row>
    <row r="14">
      <c r="A14" t="inlineStr">
        <is>
          <t>semiannual effective → MV (12 % ES)</t>
        </is>
      </c>
      <c r="B14" t="n">
        <v>0.12</v>
      </c>
      <c r="C14" t="inlineStr">
        <is>
          <t>EFFECTIVE</t>
        </is>
      </c>
      <c r="D14" t="n">
        <v>2</v>
      </c>
      <c r="E14" t="inlineStr">
        <is>
          <t>ARREARS</t>
        </is>
      </c>
      <c r="F14" t="inlineStr">
        <is>
          <t>EFFECTIVE</t>
        </is>
      </c>
      <c r="G14" t="n">
        <v>12</v>
      </c>
      <c r="H14" t="inlineStr">
        <is>
          <t>ARREARS</t>
        </is>
      </c>
      <c r="I14">
        <f>IF(C14="NOMINAL",B14/D14,B14)/IF(E14="ADVANCE",1-IF(C14="NOMINAL",B14/D14,B14),1)</f>
        <v/>
      </c>
      <c r="J14">
        <f>(1+I14)^D14-1</f>
        <v/>
      </c>
      <c r="K14">
        <f>(1+J14)^(1/G14)-1</f>
        <v/>
      </c>
      <c r="L14">
        <f>IF(H14="ADVANCE",K14/(1+K14),K14)*IF(F14="NOMINAL",G14,1)</f>
        <v/>
      </c>
      <c r="M14" t="n">
        <v>0.01906762306052134</v>
      </c>
      <c r="N14">
        <f>IF(ABS(L14-M14)&lt;=1E-12,"OK","CHECK")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Description</t>
        </is>
      </c>
      <c r="B1" s="1" t="inlineStr">
        <is>
          <t>Principal (minor)</t>
        </is>
      </c>
      <c r="C1" s="1" t="inlineStr">
        <is>
          <t>Periodic rate</t>
        </is>
      </c>
      <c r="D1" s="1" t="inlineStr">
        <is>
          <t>Periods</t>
        </is>
      </c>
      <c r="E1" s="1" t="inlineStr">
        <is>
          <t>Excel instalment (rounded)</t>
        </is>
      </c>
      <c r="F1" s="1" t="inlineStr">
        <is>
          <t>Engine instalment</t>
        </is>
      </c>
      <c r="G1" s="1" t="inlineStr">
        <is>
          <t>Match</t>
        </is>
      </c>
      <c r="H1" s="1" t="inlineStr">
        <is>
          <t>Checked by</t>
        </is>
      </c>
      <c r="I1" s="1" t="inlineStr">
        <is>
          <t>Date</t>
        </is>
      </c>
    </row>
    <row r="2">
      <c r="A2" t="inlineStr">
        <is>
          <t>COP 10,000,000 at 1.6 % MV over 36 months (colombia-credit.md §2)</t>
        </is>
      </c>
      <c r="B2" t="n">
        <v>1000000000</v>
      </c>
      <c r="C2" t="n">
        <v>0.016</v>
      </c>
      <c r="D2" t="n">
        <v>36</v>
      </c>
      <c r="E2">
        <f>ROUND(IF(C2=0,B2/D2,B2*C2/(1-(1+C2)^(-D2))),0)</f>
        <v/>
      </c>
      <c r="F2" t="n">
        <v>36757218</v>
      </c>
      <c r="G2">
        <f>IF(E2=F2,"OK","CHECK")</f>
        <v/>
      </c>
    </row>
    <row r="3">
      <c r="A3" t="inlineStr">
        <is>
          <t>zero rate: principal split evenly, residue in the last instalment</t>
        </is>
      </c>
      <c r="B3" t="n">
        <v>10000000</v>
      </c>
      <c r="C3" t="n">
        <v>0</v>
      </c>
      <c r="D3" t="n">
        <v>3</v>
      </c>
      <c r="E3">
        <f>ROUND(IF(C3=0,B3/D3,B3*C3/(1-(1+C3)^(-D3))),0)</f>
        <v/>
      </c>
      <c r="F3" t="n">
        <v>3333333</v>
      </c>
      <c r="G3">
        <f>IF(E3=F3,"OK","CHECK")</f>
        <v/>
      </c>
    </row>
    <row r="4">
      <c r="A4" t="inlineStr">
        <is>
          <t>single period: one payment of principal plus interest</t>
        </is>
      </c>
      <c r="B4" t="n">
        <v>50000000</v>
      </c>
      <c r="C4" t="n">
        <v>0.02</v>
      </c>
      <c r="D4" t="n">
        <v>1</v>
      </c>
      <c r="E4">
        <f>ROUND(IF(C4=0,B4/D4,B4*C4/(1-(1+C4)^(-D4))),0)</f>
        <v/>
      </c>
      <c r="F4" t="n">
        <v>51000000</v>
      </c>
      <c r="G4">
        <f>IF(E4=F4,"OK","CHECK")</f>
        <v/>
      </c>
    </row>
    <row r="5">
      <c r="A5" t="inlineStr">
        <is>
          <t>small amount where rounding residue matters</t>
        </is>
      </c>
      <c r="B5" t="n">
        <v>1000</v>
      </c>
      <c r="C5" t="n">
        <v>0.031</v>
      </c>
      <c r="D5" t="n">
        <v>7</v>
      </c>
      <c r="E5">
        <f>ROUND(IF(C5=0,B5/D5,B5*C5/(1-(1+C5)^(-D5))),0)</f>
        <v/>
      </c>
      <c r="F5" t="n">
        <v>161</v>
      </c>
      <c r="G5">
        <f>IF(E5=F5,"OK","CHECK")</f>
        <v/>
      </c>
    </row>
    <row r="6">
      <c r="A6" t="inlineStr">
        <is>
          <t>mortgage-length term (360 months, 0.95 % MV)</t>
        </is>
      </c>
      <c r="B6" t="n">
        <v>25000000000</v>
      </c>
      <c r="C6" t="n">
        <v>0.0095</v>
      </c>
      <c r="D6" t="n">
        <v>360</v>
      </c>
      <c r="E6">
        <f>ROUND(IF(C6=0,B6/D6,B6*C6/(1-(1+C6)^(-D6))),0)</f>
        <v/>
      </c>
      <c r="F6" t="n">
        <v>245667153</v>
      </c>
      <c r="G6">
        <f>IF(E6=F6,"OK","CHECK")</f>
        <v/>
      </c>
    </row>
    <row r="7">
      <c r="A7" t="inlineStr">
        <is>
          <t>USD 1,000.00 at 1 % monthly over 12 months: last instalment below C</t>
        </is>
      </c>
      <c r="B7" t="n">
        <v>100000</v>
      </c>
      <c r="C7" t="n">
        <v>0.01</v>
      </c>
      <c r="D7" t="n">
        <v>12</v>
      </c>
      <c r="E7">
        <f>ROUND(IF(C7=0,B7/D7,B7*C7/(1-(1+C7)^(-D7))),0)</f>
        <v/>
      </c>
      <c r="F7" t="n">
        <v>8885</v>
      </c>
      <c r="G7">
        <f>IF(E7=F7,"OK","CHECK")</f>
        <v/>
      </c>
    </row>
    <row r="9">
      <c r="A9" t="inlineStr">
        <is>
          <t>Note: Excel ROUND is half-away-from-zero; the spec uses HALF_EVEN. A "CHECK" on an exact .5 is a rounding-mode tie, not an error.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Description</t>
        </is>
      </c>
      <c r="B1" s="1" t="inlineStr">
        <is>
          <t>Agreed EA</t>
        </is>
      </c>
      <c r="C1" s="1" t="inlineStr">
        <is>
          <t>Usury EA</t>
        </is>
      </c>
      <c r="D1" s="1" t="inlineStr">
        <is>
          <t>Valid from</t>
        </is>
      </c>
      <c r="E1" s="1" t="inlineStr">
        <is>
          <t>Valid to</t>
        </is>
      </c>
      <c r="F1" s="1" t="inlineStr">
        <is>
          <t>As of</t>
        </is>
      </c>
      <c r="G1" s="1" t="inlineStr">
        <is>
          <t>Excel status</t>
        </is>
      </c>
      <c r="H1" s="1" t="inlineStr">
        <is>
          <t>Excel margin (pp)</t>
        </is>
      </c>
      <c r="I1" s="1" t="inlineStr">
        <is>
          <t>Excel source</t>
        </is>
      </c>
      <c r="J1" s="1" t="inlineStr">
        <is>
          <t>Engine status</t>
        </is>
      </c>
      <c r="K1" s="1" t="inlineStr">
        <is>
          <t>Engine margin</t>
        </is>
      </c>
      <c r="L1" s="1" t="inlineStr">
        <is>
          <t>Engine source</t>
        </is>
      </c>
      <c r="M1" s="1" t="inlineStr">
        <is>
          <t>Match</t>
        </is>
      </c>
      <c r="N1" s="1" t="inlineStr">
        <is>
          <t>Checked by</t>
        </is>
      </c>
      <c r="O1" s="1" t="inlineStr">
        <is>
          <t>Date</t>
        </is>
      </c>
    </row>
    <row r="2">
      <c r="A2" t="inlineStr">
        <is>
          <t>below the usury rate</t>
        </is>
      </c>
      <c r="B2" t="n">
        <v>0.24</v>
      </c>
      <c r="C2" t="n">
        <v>0.2862</v>
      </c>
      <c r="D2" t="inlineStr">
        <is>
          <t>2026-10-01</t>
        </is>
      </c>
      <c r="E2" t="inlineStr">
        <is>
          <t>2026-10-31</t>
        </is>
      </c>
      <c r="F2" t="inlineStr">
        <is>
          <t>2026-10-15</t>
        </is>
      </c>
      <c r="G2">
        <f>IF(B2&lt;C2,"BELOW","AT_OR_ABOVE")</f>
        <v/>
      </c>
      <c r="H2">
        <f>(B2-C2)*100</f>
        <v/>
      </c>
      <c r="I2">
        <f>IF(AND(F2&gt;=D2,F2&lt;=E2),"CURRENT","STALE")</f>
        <v/>
      </c>
      <c r="J2" t="inlineStr">
        <is>
          <t>BELOW</t>
        </is>
      </c>
      <c r="K2" t="n">
        <v>-4.62</v>
      </c>
      <c r="L2" t="inlineStr">
        <is>
          <t>CURRENT</t>
        </is>
      </c>
      <c r="M2">
        <f>IF(AND(G2=J2,ABS(H2-K2)&lt;1E-9,I2=L2),"OK","CHECK")</f>
        <v/>
      </c>
    </row>
    <row r="3">
      <c r="A3" t="inlineStr">
        <is>
          <t>exactly at the usury rate counts as AT_OR_ABOVE</t>
        </is>
      </c>
      <c r="B3" t="n">
        <v>0.2862</v>
      </c>
      <c r="C3" t="n">
        <v>0.2862</v>
      </c>
      <c r="D3" t="inlineStr">
        <is>
          <t>2026-10-01</t>
        </is>
      </c>
      <c r="E3" t="inlineStr">
        <is>
          <t>2026-10-31</t>
        </is>
      </c>
      <c r="F3" t="inlineStr">
        <is>
          <t>2026-10-01</t>
        </is>
      </c>
      <c r="G3">
        <f>IF(B3&lt;C3,"BELOW","AT_OR_ABOVE")</f>
        <v/>
      </c>
      <c r="H3">
        <f>(B3-C3)*100</f>
        <v/>
      </c>
      <c r="I3">
        <f>IF(AND(F3&gt;=D3,F3&lt;=E3),"CURRENT","STALE")</f>
        <v/>
      </c>
      <c r="J3" t="inlineStr">
        <is>
          <t>AT_OR_ABOVE</t>
        </is>
      </c>
      <c r="K3" t="n">
        <v>0</v>
      </c>
      <c r="L3" t="inlineStr">
        <is>
          <t>CURRENT</t>
        </is>
      </c>
      <c r="M3">
        <f>IF(AND(G3=J3,ABS(H3-K3)&lt;1E-9,I3=L3),"OK","CHECK")</f>
        <v/>
      </c>
    </row>
    <row r="4">
      <c r="A4" t="inlineStr">
        <is>
          <t>above the usury rate</t>
        </is>
      </c>
      <c r="B4" t="n">
        <v>0.3137344983996021</v>
      </c>
      <c r="C4" t="n">
        <v>0.2862</v>
      </c>
      <c r="D4" t="inlineStr">
        <is>
          <t>2026-10-01</t>
        </is>
      </c>
      <c r="E4" t="inlineStr">
        <is>
          <t>2026-10-31</t>
        </is>
      </c>
      <c r="F4" t="inlineStr">
        <is>
          <t>2026-10-31</t>
        </is>
      </c>
      <c r="G4">
        <f>IF(B4&lt;C4,"BELOW","AT_OR_ABOVE")</f>
        <v/>
      </c>
      <c r="H4">
        <f>(B4-C4)*100</f>
        <v/>
      </c>
      <c r="I4">
        <f>IF(AND(F4&gt;=D4,F4&lt;=E4),"CURRENT","STALE")</f>
        <v/>
      </c>
      <c r="J4" t="inlineStr">
        <is>
          <t>AT_OR_ABOVE</t>
        </is>
      </c>
      <c r="K4" t="n">
        <v>2.753449839960213</v>
      </c>
      <c r="L4" t="inlineStr">
        <is>
          <t>CURRENT</t>
        </is>
      </c>
      <c r="M4">
        <f>IF(AND(G4=J4,ABS(H4-K4)&lt;1E-9,I4=L4),"OK","CHECK")</f>
        <v/>
      </c>
    </row>
    <row r="5">
      <c r="A5" t="inlineStr">
        <is>
          <t>certification expired: result is marked STALE</t>
        </is>
      </c>
      <c r="B5" t="n">
        <v>0.24</v>
      </c>
      <c r="C5" t="n">
        <v>0.2862</v>
      </c>
      <c r="D5" t="inlineStr">
        <is>
          <t>2026-09-01</t>
        </is>
      </c>
      <c r="E5" t="inlineStr">
        <is>
          <t>2026-09-30</t>
        </is>
      </c>
      <c r="F5" t="inlineStr">
        <is>
          <t>2026-10-15</t>
        </is>
      </c>
      <c r="G5">
        <f>IF(B5&lt;C5,"BELOW","AT_OR_ABOVE")</f>
        <v/>
      </c>
      <c r="H5">
        <f>(B5-C5)*100</f>
        <v/>
      </c>
      <c r="I5">
        <f>IF(AND(F5&gt;=D5,F5&lt;=E5),"CURRENT","STALE")</f>
        <v/>
      </c>
      <c r="J5" t="inlineStr">
        <is>
          <t>BELOW</t>
        </is>
      </c>
      <c r="K5" t="n">
        <v>-4.62</v>
      </c>
      <c r="L5" t="inlineStr">
        <is>
          <t>STALE</t>
        </is>
      </c>
      <c r="M5">
        <f>IF(AND(G5=J5,ABS(H5-K5)&lt;1E-9,I5=L5),"OK","CHECK")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2026-09-29T02:53:10Z</dcterms:created>
  <dcterms:modified xsi:type="dcterms:W3CDTF">2026-09-29T02:53:10Z</dcterms:modified>
</cp:coreProperties>
</file>